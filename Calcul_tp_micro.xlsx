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on Drive\2025-2026_polytech_sorbonne\S6\UE-Electronique\Composants_et_circuit_microelectrique\"/>
    </mc:Choice>
  </mc:AlternateContent>
  <xr:revisionPtr revIDLastSave="0" documentId="13_ncr:1_{278EFEA1-617F-400E-92E4-9C23DCF4C76A}" xr6:coauthVersionLast="47" xr6:coauthVersionMax="47" xr10:uidLastSave="{00000000-0000-0000-0000-000000000000}"/>
  <bookViews>
    <workbookView xWindow="-120" yWindow="-120" windowWidth="29040" windowHeight="15720" xr2:uid="{2D057605-A871-4E27-96C0-DEF04C3B91E9}"/>
  </bookViews>
  <sheets>
    <sheet name="NMOS" sheetId="1" r:id="rId1"/>
    <sheet name="BJ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2" i="1"/>
  <c r="B31" i="1"/>
  <c r="A32" i="1"/>
  <c r="B1" i="1"/>
  <c r="B5" i="1"/>
  <c r="C9" i="1"/>
  <c r="C10" i="1" s="1"/>
  <c r="B4" i="1"/>
  <c r="A10" i="1"/>
  <c r="E32" i="1" l="1"/>
  <c r="D31" i="1"/>
  <c r="D32" i="1"/>
  <c r="C32" i="1"/>
  <c r="C31" i="1"/>
  <c r="A33" i="1"/>
  <c r="E31" i="1"/>
  <c r="B9" i="1"/>
  <c r="A11" i="1"/>
  <c r="A34" i="1" l="1"/>
  <c r="E33" i="1"/>
  <c r="B33" i="1"/>
  <c r="D33" i="1"/>
  <c r="C33" i="1"/>
  <c r="B10" i="1"/>
  <c r="C11" i="1"/>
  <c r="A12" i="1"/>
  <c r="A35" i="1" l="1"/>
  <c r="E34" i="1"/>
  <c r="B34" i="1"/>
  <c r="D34" i="1"/>
  <c r="C34" i="1"/>
  <c r="C12" i="1"/>
  <c r="B11" i="1"/>
  <c r="A13" i="1"/>
  <c r="A36" i="1" l="1"/>
  <c r="E35" i="1"/>
  <c r="B35" i="1"/>
  <c r="C35" i="1"/>
  <c r="D35" i="1"/>
  <c r="C13" i="1"/>
  <c r="B12" i="1"/>
  <c r="A14" i="1"/>
  <c r="A37" i="1" l="1"/>
  <c r="E36" i="1"/>
  <c r="B36" i="1"/>
  <c r="D36" i="1"/>
  <c r="C36" i="1"/>
  <c r="B13" i="1"/>
  <c r="C14" i="1"/>
  <c r="B14" i="1" s="1"/>
  <c r="A15" i="1"/>
  <c r="B15" i="1" s="1"/>
  <c r="A38" i="1" l="1"/>
  <c r="C37" i="1"/>
  <c r="E37" i="1"/>
  <c r="B37" i="1"/>
  <c r="D37" i="1"/>
  <c r="A16" i="1"/>
  <c r="B16" i="1" s="1"/>
  <c r="C38" i="1" l="1"/>
  <c r="E38" i="1"/>
  <c r="D38" i="1"/>
  <c r="B38" i="1"/>
  <c r="A17" i="1"/>
  <c r="B17" i="1" s="1"/>
  <c r="A18" i="1" l="1"/>
  <c r="B18" i="1" s="1"/>
  <c r="A19" i="1" l="1"/>
  <c r="B19" i="1" s="1"/>
  <c r="A20" i="1" l="1"/>
  <c r="B20" i="1" s="1"/>
  <c r="A21" i="1" l="1"/>
  <c r="B21" i="1" s="1"/>
  <c r="A22" i="1" l="1"/>
  <c r="B22" i="1" s="1"/>
  <c r="A23" i="1" l="1"/>
  <c r="B23" i="1" s="1"/>
</calcChain>
</file>

<file path=xl/sharedStrings.xml><?xml version="1.0" encoding="utf-8"?>
<sst xmlns="http://schemas.openxmlformats.org/spreadsheetml/2006/main" count="14" uniqueCount="13">
  <si>
    <t>K</t>
  </si>
  <si>
    <t>Vt</t>
  </si>
  <si>
    <t>Vgs</t>
  </si>
  <si>
    <t>Id</t>
  </si>
  <si>
    <t>Vthermique</t>
  </si>
  <si>
    <t>I0</t>
  </si>
  <si>
    <t>Idss</t>
  </si>
  <si>
    <t>Erreur</t>
  </si>
  <si>
    <t>Vds</t>
  </si>
  <si>
    <t>Id (Vgs = 2,5)</t>
  </si>
  <si>
    <t>Id (Vgs = 3,5)</t>
  </si>
  <si>
    <t>Id (Vgs = 3)</t>
  </si>
  <si>
    <t>Id (Vgs = 2,0)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</si>
</sst>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14</xdr:col>
      <xdr:colOff>353220</xdr:colOff>
      <xdr:row>28</xdr:row>
      <xdr:rowOff>45674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17CFC80-9F14-C85B-48A3-AACF06229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650" y="0"/>
          <a:ext cx="5687219" cy="5515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0EBD-D9DB-423A-B3CB-B9E234E2F3A2}">
  <dimension ref="A1:E38"/>
  <sheetViews>
    <sheetView tabSelected="1" zoomScale="68" workbookViewId="0">
      <selection activeCell="D7" sqref="D7"/>
    </sheetView>
  </sheetViews>
  <sheetFormatPr baseColWidth="10" defaultRowHeight="15"/>
  <cols>
    <col min="1" max="1" width="11.140625" bestFit="1" customWidth="1"/>
    <col min="2" max="2" width="21.140625" bestFit="1" customWidth="1"/>
    <col min="3" max="5" width="13.140625" bestFit="1" customWidth="1"/>
  </cols>
  <sheetData>
    <row r="1" spans="1:4" ht="15.75" thickBot="1">
      <c r="A1" s="7" t="s">
        <v>0</v>
      </c>
      <c r="B1" s="3">
        <f>0.000735</f>
        <v>7.3499999999999998E-4</v>
      </c>
    </row>
    <row r="2" spans="1:4" ht="15.75" thickBot="1">
      <c r="A2" s="7" t="s">
        <v>1</v>
      </c>
      <c r="B2" s="3">
        <f>1.4*95%</f>
        <v>1.3299999999999998</v>
      </c>
    </row>
    <row r="3" spans="1:4" ht="15.75" thickBot="1">
      <c r="A3" s="7" t="s">
        <v>4</v>
      </c>
      <c r="B3" s="3">
        <v>2.5999999999999999E-2</v>
      </c>
    </row>
    <row r="4" spans="1:4" ht="15.75" thickBot="1">
      <c r="A4" s="7" t="s">
        <v>5</v>
      </c>
      <c r="B4" s="3">
        <f>100*10^-9</f>
        <v>1.0000000000000001E-7</v>
      </c>
    </row>
    <row r="5" spans="1:4" ht="15.75" thickBot="1">
      <c r="A5" s="7" t="s">
        <v>6</v>
      </c>
      <c r="B5" s="3">
        <f>(0.000682*10^-6)</f>
        <v>6.8199999999999992E-10</v>
      </c>
    </row>
    <row r="7" spans="1:4" ht="15.75" thickBot="1"/>
    <row r="8" spans="1:4" ht="15.75" thickBot="1">
      <c r="A8" s="6" t="s">
        <v>2</v>
      </c>
      <c r="B8" s="6" t="s">
        <v>3</v>
      </c>
      <c r="C8" s="6" t="s">
        <v>7</v>
      </c>
    </row>
    <row r="9" spans="1:4" ht="15.75" thickBot="1">
      <c r="A9" s="4">
        <v>0</v>
      </c>
      <c r="B9" s="8">
        <f t="shared" ref="B9:B14" si="0">$B$5*(C9)</f>
        <v>-6.8199999999999995E-11</v>
      </c>
      <c r="C9" s="4">
        <f>-10%</f>
        <v>-0.1</v>
      </c>
    </row>
    <row r="10" spans="1:4" ht="15.75" thickBot="1">
      <c r="A10" s="4">
        <f>A9+0.25</f>
        <v>0.25</v>
      </c>
      <c r="B10" s="8">
        <f t="shared" si="0"/>
        <v>1.3639999999999996E-10</v>
      </c>
      <c r="C10" s="5">
        <f>C9+30%</f>
        <v>0.19999999999999998</v>
      </c>
    </row>
    <row r="11" spans="1:4" ht="15.75" thickBot="1">
      <c r="A11" s="4">
        <f t="shared" ref="A11:A23" si="1">A10+0.25</f>
        <v>0.5</v>
      </c>
      <c r="B11" s="8">
        <f t="shared" si="0"/>
        <v>2.0459999999999997E-10</v>
      </c>
      <c r="C11" s="5">
        <f t="shared" ref="C11:C12" si="2">C10+10%</f>
        <v>0.3</v>
      </c>
    </row>
    <row r="12" spans="1:4" ht="15.75" thickBot="1">
      <c r="A12" s="4">
        <f t="shared" si="1"/>
        <v>0.75</v>
      </c>
      <c r="B12" s="8">
        <f t="shared" si="0"/>
        <v>2.7279999999999998E-10</v>
      </c>
      <c r="C12" s="5">
        <f t="shared" si="2"/>
        <v>0.4</v>
      </c>
    </row>
    <row r="13" spans="1:4" ht="15.75" thickBot="1">
      <c r="A13" s="4">
        <f t="shared" si="1"/>
        <v>1</v>
      </c>
      <c r="B13" s="8">
        <f t="shared" si="0"/>
        <v>3.4099999999999996E-10</v>
      </c>
      <c r="C13" s="5">
        <f>C12+10%</f>
        <v>0.5</v>
      </c>
    </row>
    <row r="14" spans="1:4" ht="15.75" thickBot="1">
      <c r="A14" s="4">
        <f t="shared" si="1"/>
        <v>1.25</v>
      </c>
      <c r="B14" s="8">
        <f t="shared" si="0"/>
        <v>4.0919999999999994E-10</v>
      </c>
      <c r="C14" s="5">
        <f>C13+10%</f>
        <v>0.6</v>
      </c>
      <c r="D14" s="2"/>
    </row>
    <row r="15" spans="1:4" ht="15.75" thickBot="1">
      <c r="A15" s="4">
        <f t="shared" si="1"/>
        <v>1.5</v>
      </c>
      <c r="B15" s="8">
        <f t="shared" ref="B15:B23" si="3">IF(A15 &gt; $B$2, ($B$1 / 2) * (A15 - $B$2)^2, 0)</f>
        <v>1.0620750000000019E-5</v>
      </c>
      <c r="C15" s="1"/>
    </row>
    <row r="16" spans="1:4" ht="15.75" thickBot="1">
      <c r="A16" s="4">
        <f t="shared" si="1"/>
        <v>1.75</v>
      </c>
      <c r="B16" s="8">
        <f t="shared" si="3"/>
        <v>6.4827000000000049E-5</v>
      </c>
      <c r="C16" s="1"/>
    </row>
    <row r="17" spans="1:5" ht="15.75" thickBot="1">
      <c r="A17" s="4">
        <f t="shared" si="1"/>
        <v>2</v>
      </c>
      <c r="B17" s="8">
        <f t="shared" si="3"/>
        <v>1.6497075000000005E-4</v>
      </c>
      <c r="C17" s="1"/>
    </row>
    <row r="18" spans="1:5" ht="15.75" thickBot="1">
      <c r="A18" s="4">
        <f t="shared" si="1"/>
        <v>2.25</v>
      </c>
      <c r="B18" s="9">
        <f t="shared" si="3"/>
        <v>3.1105200000000008E-4</v>
      </c>
      <c r="C18" s="1"/>
    </row>
    <row r="19" spans="1:5" ht="15.75" thickBot="1">
      <c r="A19" s="4">
        <f t="shared" si="1"/>
        <v>2.5</v>
      </c>
      <c r="B19" s="9">
        <f t="shared" si="3"/>
        <v>5.0307075000000014E-4</v>
      </c>
      <c r="C19" s="1"/>
    </row>
    <row r="20" spans="1:5" ht="15.75" thickBot="1">
      <c r="A20" s="4">
        <f t="shared" si="1"/>
        <v>2.75</v>
      </c>
      <c r="B20" s="9">
        <f t="shared" si="3"/>
        <v>7.4102700000000011E-4</v>
      </c>
    </row>
    <row r="21" spans="1:5" ht="15.75" thickBot="1">
      <c r="A21" s="4">
        <f t="shared" si="1"/>
        <v>3</v>
      </c>
      <c r="B21" s="9">
        <f t="shared" si="3"/>
        <v>1.0249207500000002E-3</v>
      </c>
    </row>
    <row r="22" spans="1:5" ht="15.75" thickBot="1">
      <c r="A22" s="4">
        <f t="shared" si="1"/>
        <v>3.25</v>
      </c>
      <c r="B22" s="9">
        <f t="shared" si="3"/>
        <v>1.3547520000000003E-3</v>
      </c>
    </row>
    <row r="23" spans="1:5" ht="15.75" thickBot="1">
      <c r="A23" s="4">
        <f t="shared" si="1"/>
        <v>3.5</v>
      </c>
      <c r="B23" s="8">
        <f t="shared" si="3"/>
        <v>1.73052075E-3</v>
      </c>
    </row>
    <row r="27" spans="1:5" ht="15.75" thickBot="1"/>
    <row r="28" spans="1:5" ht="15.75" thickBot="1">
      <c r="A28" s="6" t="s">
        <v>2</v>
      </c>
      <c r="B28" s="4">
        <v>2.5</v>
      </c>
      <c r="C28" s="4">
        <v>3</v>
      </c>
      <c r="D28" s="4">
        <v>3.5</v>
      </c>
      <c r="E28" s="4">
        <v>2</v>
      </c>
    </row>
    <row r="29" spans="1:5" ht="15.75" thickBot="1"/>
    <row r="30" spans="1:5" ht="15.75" thickBot="1">
      <c r="A30" s="6" t="s">
        <v>8</v>
      </c>
      <c r="B30" s="6" t="s">
        <v>9</v>
      </c>
      <c r="C30" s="6" t="s">
        <v>11</v>
      </c>
      <c r="D30" s="6" t="s">
        <v>10</v>
      </c>
      <c r="E30" s="6" t="s">
        <v>12</v>
      </c>
    </row>
    <row r="31" spans="1:5" ht="15.75" thickBot="1">
      <c r="A31" s="4">
        <v>0</v>
      </c>
      <c r="B31" s="4">
        <f>IF( A31 &lt; ($B$28-$B$2), $B$1 * (($B$28-$B$2) * A31 - (A31^2)/2), ($B$1/2) * ($B$28-$B$2)^2 )</f>
        <v>0</v>
      </c>
      <c r="C31" s="4">
        <f>IF( A31 &lt; ($C$28-$B$2), $B$1 * (($C$28-$B$2) * A31 - (A31^2)/2), ($B$1/2) * ($C$28-$B$2)^2 )</f>
        <v>0</v>
      </c>
      <c r="D31" s="4">
        <f>IF( A31 &lt; ($D$28-$B$2), $B$1 * (($D$28-$B$2) * A31 - (A31^2)/2), ($B$1/2) * ($D$28-$B$2)^2 )</f>
        <v>0</v>
      </c>
      <c r="E31" s="4">
        <f>IF( A31 &lt; ($E$28-$B$2), $B$1 * (($E$28-$B$2) * A31 - (A31^2)/2), ($B$1/2) * ($E$28-$B$2)^2 )</f>
        <v>0</v>
      </c>
    </row>
    <row r="32" spans="1:5" ht="15.75" thickBot="1">
      <c r="A32" s="4">
        <f>A31+0.5</f>
        <v>0.5</v>
      </c>
      <c r="B32" s="4">
        <f>IF( A32 &lt; ($B$28-$B$2), $B$1 * (($B$28-$B$2) * A32 - (A32^2)/2), ($B$1/2) * ($B$28-$B$2)^2 )</f>
        <v>3.3810000000000003E-4</v>
      </c>
      <c r="C32" s="4">
        <f>IF( A32 &lt; ($C$28-$B$2), $B$1 * (($C$28-$B$2) * A32 - (A32^2)/2), ($B$1/2) * ($C$28-$B$2)^2 )</f>
        <v>5.2185000000000003E-4</v>
      </c>
      <c r="D32" s="4">
        <f>IF( A32 &lt; ($D$28-$B$2), $B$1 * (($D$28-$B$2) * A32 - (A32^2)/2), ($B$1/2) * ($D$28-$B$2)^2 )</f>
        <v>7.0559999999999991E-4</v>
      </c>
      <c r="E32" s="4">
        <f>IF( A32 &lt; ($E$28-$B$2), $B$1 * (($E$28-$B$2) * A32 - (A32^2)/2), ($B$1/2) * ($E$28-$B$2)^2 )</f>
        <v>1.5435000000000004E-4</v>
      </c>
    </row>
    <row r="33" spans="1:5" ht="15.75" thickBot="1">
      <c r="A33" s="4">
        <f t="shared" ref="A33:A38" si="4">A32+0.5</f>
        <v>1</v>
      </c>
      <c r="B33" s="4">
        <f t="shared" ref="B33:B38" si="5">IF( A33 &lt; ($B$28-$B$2), $B$1 * (($B$28-$B$2) * A33 - (A33^2)/2), ($B$1/2) * ($B$28-$B$2)^2 )</f>
        <v>4.9245000000000007E-4</v>
      </c>
      <c r="C33" s="4">
        <f t="shared" ref="C33:C38" si="6">IF( A33 &lt; ($C$28-$B$2), $B$1 * (($C$28-$B$2) * A33 - (A33^2)/2), ($B$1/2) * ($C$28-$B$2)^2 )</f>
        <v>8.5995000000000006E-4</v>
      </c>
      <c r="D33" s="4">
        <f t="shared" ref="D33:D38" si="7">IF( A33 &lt; ($D$28-$B$2), $B$1 * (($D$28-$B$2) * A33 - (A33^2)/2), ($B$1/2) * ($D$28-$B$2)^2 )</f>
        <v>1.2274499999999999E-3</v>
      </c>
      <c r="E33" s="4">
        <f t="shared" ref="E33:E38" si="8">IF( A33 &lt; ($E$28-$B$2), $B$1 * (($E$28-$B$2) * A33 - (A33^2)/2), ($B$1/2) * ($E$28-$B$2)^2 )</f>
        <v>1.6497075000000005E-4</v>
      </c>
    </row>
    <row r="34" spans="1:5" ht="15.75" thickBot="1">
      <c r="A34" s="4">
        <f t="shared" si="4"/>
        <v>1.5</v>
      </c>
      <c r="B34" s="4">
        <f t="shared" si="5"/>
        <v>5.0307075000000014E-4</v>
      </c>
      <c r="C34" s="4">
        <f t="shared" si="6"/>
        <v>1.0143000000000003E-3</v>
      </c>
      <c r="D34" s="4">
        <f t="shared" si="7"/>
        <v>1.56555E-3</v>
      </c>
      <c r="E34" s="4">
        <f t="shared" si="8"/>
        <v>1.6497075000000005E-4</v>
      </c>
    </row>
    <row r="35" spans="1:5" ht="15.75" thickBot="1">
      <c r="A35" s="4">
        <f t="shared" si="4"/>
        <v>2</v>
      </c>
      <c r="B35" s="4">
        <f t="shared" si="5"/>
        <v>5.0307075000000014E-4</v>
      </c>
      <c r="C35" s="4">
        <f t="shared" si="6"/>
        <v>1.0249207500000002E-3</v>
      </c>
      <c r="D35" s="4">
        <f t="shared" si="7"/>
        <v>1.7198999999999999E-3</v>
      </c>
      <c r="E35" s="4">
        <f t="shared" si="8"/>
        <v>1.6497075000000005E-4</v>
      </c>
    </row>
    <row r="36" spans="1:5" ht="15.75" thickBot="1">
      <c r="A36" s="4">
        <f t="shared" si="4"/>
        <v>2.5</v>
      </c>
      <c r="B36" s="4">
        <f t="shared" si="5"/>
        <v>5.0307075000000014E-4</v>
      </c>
      <c r="C36" s="4">
        <f t="shared" si="6"/>
        <v>1.0249207500000002E-3</v>
      </c>
      <c r="D36" s="4">
        <f t="shared" si="7"/>
        <v>1.73052075E-3</v>
      </c>
      <c r="E36" s="4">
        <f t="shared" si="8"/>
        <v>1.6497075000000005E-4</v>
      </c>
    </row>
    <row r="37" spans="1:5" ht="15.75" thickBot="1">
      <c r="A37" s="4">
        <f t="shared" si="4"/>
        <v>3</v>
      </c>
      <c r="B37" s="4">
        <f t="shared" si="5"/>
        <v>5.0307075000000014E-4</v>
      </c>
      <c r="C37" s="4">
        <f t="shared" si="6"/>
        <v>1.0249207500000002E-3</v>
      </c>
      <c r="D37" s="4">
        <f t="shared" si="7"/>
        <v>1.73052075E-3</v>
      </c>
      <c r="E37" s="4">
        <f t="shared" si="8"/>
        <v>1.6497075000000005E-4</v>
      </c>
    </row>
    <row r="38" spans="1:5" ht="15.75" thickBot="1">
      <c r="A38" s="4">
        <f t="shared" si="4"/>
        <v>3.5</v>
      </c>
      <c r="B38" s="4">
        <f t="shared" si="5"/>
        <v>5.0307075000000014E-4</v>
      </c>
      <c r="C38" s="4">
        <f t="shared" si="6"/>
        <v>1.0249207500000002E-3</v>
      </c>
      <c r="D38" s="4">
        <f t="shared" si="7"/>
        <v>1.73052075E-3</v>
      </c>
      <c r="E38" s="4">
        <f t="shared" si="8"/>
        <v>1.6497075000000005E-4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3745-0350-4BDF-812C-3477FA3C2439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NMOS</vt:lpstr>
      <vt:lpstr>BJT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KATTOUFI YOUSSEF</dc:creator>
  <cp:lastModifiedBy>EL KATTOUFI YOUSSEF</cp:lastModifiedBy>
  <dcterms:created xsi:type="dcterms:W3CDTF">2026-03-22T14:23:56Z</dcterms:created>
  <dcterms:modified xsi:type="dcterms:W3CDTF">2026-03-23T09:35:56Z</dcterms:modified>
</cp:coreProperties>
</file>