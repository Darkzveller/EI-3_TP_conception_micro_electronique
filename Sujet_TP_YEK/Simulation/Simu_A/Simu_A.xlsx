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on Drive\2025-2026_polytech_sorbonne\S6\UE-Electronique\Composants_et_circuit_microelectrique\TP\Sujet_TP_YEK\Simulation\Simu_A\"/>
    </mc:Choice>
  </mc:AlternateContent>
  <xr:revisionPtr revIDLastSave="0" documentId="13_ncr:1_{099B170D-7C06-4FAA-B1BC-0C47C27BE2C9}" xr6:coauthVersionLast="47" xr6:coauthVersionMax="47" xr10:uidLastSave="{00000000-0000-0000-0000-000000000000}"/>
  <bookViews>
    <workbookView xWindow="-105" yWindow="0" windowWidth="14610" windowHeight="15585" xr2:uid="{22D79C92-804A-4BF0-A41C-545980E39E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4" i="1"/>
  <c r="B2" i="1"/>
  <c r="C3" i="1"/>
  <c r="C4" i="1" s="1"/>
  <c r="E2" i="1" l="1"/>
  <c r="E4" i="1"/>
  <c r="E3" i="1"/>
</calcChain>
</file>

<file path=xl/sharedStrings.xml><?xml version="1.0" encoding="utf-8"?>
<sst xmlns="http://schemas.openxmlformats.org/spreadsheetml/2006/main" count="6" uniqueCount="6">
  <si>
    <t>Vpolarisation</t>
  </si>
  <si>
    <t>Id</t>
  </si>
  <si>
    <t>Vt</t>
  </si>
  <si>
    <t>N</t>
  </si>
  <si>
    <t>Rltspice</t>
  </si>
  <si>
    <t>R à la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</si>
</sst>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173" fontId="0" fillId="3" borderId="1" xfId="0" applyNumberFormat="1" applyFill="1" applyBorder="1" applyAlignment="1">
      <alignment horizontal="center" vertical="center"/>
    </xf>
    <xf numFmtId="173" fontId="0" fillId="3" borderId="2" xfId="0" applyNumberForma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11" fontId="0" fillId="4" borderId="2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018A-4001-4CE1-85A6-B4A0093BECE2}">
  <dimension ref="A1:F4"/>
  <sheetViews>
    <sheetView tabSelected="1" workbookViewId="0">
      <selection activeCell="D2" sqref="D2"/>
    </sheetView>
  </sheetViews>
  <sheetFormatPr baseColWidth="10" defaultRowHeight="15" x14ac:dyDescent="0.25"/>
  <cols>
    <col min="3" max="3" width="13" bestFit="1" customWidth="1"/>
    <col min="4" max="4" width="12.5703125" bestFit="1" customWidth="1"/>
    <col min="5" max="5" width="14.5703125" bestFit="1" customWidth="1"/>
    <col min="6" max="6" width="8" bestFit="1" customWidth="1"/>
  </cols>
  <sheetData>
    <row r="1" spans="1:6" ht="15.75" thickBot="1" x14ac:dyDescent="0.3">
      <c r="A1" s="1" t="s">
        <v>3</v>
      </c>
      <c r="B1" s="1" t="s">
        <v>2</v>
      </c>
      <c r="C1" s="1" t="s">
        <v>0</v>
      </c>
      <c r="D1" s="1" t="s">
        <v>1</v>
      </c>
      <c r="E1" s="1" t="s">
        <v>5</v>
      </c>
      <c r="F1" s="1" t="s">
        <v>4</v>
      </c>
    </row>
    <row r="2" spans="1:6" ht="15.75" thickBot="1" x14ac:dyDescent="0.3">
      <c r="A2" s="6">
        <v>1</v>
      </c>
      <c r="B2" s="6">
        <f>0.026</f>
        <v>2.5999999999999999E-2</v>
      </c>
      <c r="C2" s="6">
        <v>0.6</v>
      </c>
      <c r="D2" s="4">
        <f>0.0000330634</f>
        <v>3.3063399999999999E-5</v>
      </c>
      <c r="E2" s="2">
        <f>$B$2*$A$2/D2</f>
        <v>786.3680081298354</v>
      </c>
      <c r="F2" s="2">
        <v>782.3</v>
      </c>
    </row>
    <row r="3" spans="1:6" ht="15.75" thickBot="1" x14ac:dyDescent="0.3">
      <c r="C3" s="7">
        <f>C2+0.1</f>
        <v>0.7</v>
      </c>
      <c r="D3" s="5">
        <v>1.03539E-4</v>
      </c>
      <c r="E3" s="3">
        <f>$B$2*$A$2/D3</f>
        <v>251.11310713837298</v>
      </c>
      <c r="F3" s="3">
        <v>249.82</v>
      </c>
    </row>
    <row r="4" spans="1:6" ht="15.75" thickBot="1" x14ac:dyDescent="0.3">
      <c r="C4" s="6">
        <f>C3+0.1</f>
        <v>0.79999999999999993</v>
      </c>
      <c r="D4" s="4">
        <f>0.000188096</f>
        <v>1.8809600000000001E-4</v>
      </c>
      <c r="E4" s="2">
        <f>$B$2*$A$2/D4</f>
        <v>138.22728819326301</v>
      </c>
      <c r="F4" s="2">
        <v>137.51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EL KATTOUFI YOUSSEF</cp:lastModifiedBy>
  <dcterms:created xsi:type="dcterms:W3CDTF">2026-03-14T21:34:14Z</dcterms:created>
  <dcterms:modified xsi:type="dcterms:W3CDTF">2026-03-14T22:17:12Z</dcterms:modified>
</cp:coreProperties>
</file>